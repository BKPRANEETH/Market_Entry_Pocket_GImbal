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Overview" sheetId="1" state="visible" r:id="rId3"/>
    <sheet name="Market Sizing" sheetId="2" state="visible" r:id="rId4"/>
    <sheet name="Pricing &amp; Margins" sheetId="3" state="visible" r:id="rId5"/>
    <sheet name="SWOT — Vivo Ent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<sst xmlns="http://schemas.openxmlformats.org/spreadsheetml/2006/main" count="186" uniqueCount="176">
  <si>
    <t xml:space="preserve">POCKET GIMBAL CAMERA MARKET — INDIA COMPETITIVE LANDSCAPE 2026</t>
  </si>
  <si>
    <t xml:space="preserve">Case Study: Vivo Entering Pocket Vlogging Camera Market  |  Data as of May 2026</t>
  </si>
  <si>
    <t xml:space="preserve">Company Name</t>
  </si>
  <si>
    <t xml:space="preserve">Revenue (USD $M)</t>
  </si>
  <si>
    <t xml:space="preserve">Revenue Growth %</t>
  </si>
  <si>
    <t xml:space="preserve">Market Share %</t>
  </si>
  <si>
    <t xml:space="preserve">Customer Base (M)</t>
  </si>
  <si>
    <t xml:space="preserve">Avg Product Price (USD)</t>
  </si>
  <si>
    <t xml:space="preserve">Customer Satisfaction
(out of 10)</t>
  </si>
  <si>
    <t xml:space="preserve">Website Traffic
(M visits/mo)</t>
  </si>
  <si>
    <t xml:space="preserve">Social Media
Engagement %</t>
  </si>
  <si>
    <t xml:space="preserve">Product Portfolio
Size</t>
  </si>
  <si>
    <t xml:space="preserve">Geographic Presence</t>
  </si>
  <si>
    <t xml:space="preserve">Competitive Advantage</t>
  </si>
  <si>
    <t xml:space="preserve">Target Segment</t>
  </si>
  <si>
    <t xml:space="preserve">Industry Growth
Rate (CAGR %)</t>
  </si>
  <si>
    <t xml:space="preserve">SWOT Rating
(1–10)</t>
  </si>
  <si>
    <t xml:space="preserve">Notes / Source</t>
  </si>
  <si>
    <t xml:space="preserve">DJI</t>
  </si>
  <si>
    <t xml:space="preserve">Global (150+ countries)</t>
  </si>
  <si>
    <t xml:space="preserve">First-mover advantage; superior gimbal stabilisation; mature accessories ecosystem; DJI Mic integration</t>
  </si>
  <si>
    <t xml:space="preserve">Pro &amp; semi-pro creators, travel vloggers</t>
  </si>
  <si>
    <t xml:space="preserve">Source: DJI financials est., TechRadar 2026; Osmo Pocket 4 launched Apr 2026 at $499</t>
  </si>
  <si>
    <t xml:space="preserve">Insta360</t>
  </si>
  <si>
    <t xml:space="preserve">Global (120+ countries)</t>
  </si>
  <si>
    <t xml:space="preserve">~70% share in 360-cam market; dual-lens Luna innovation; modular design; strong software AI</t>
  </si>
  <si>
    <t xml:space="preserve">Creative/adventure creators, 360° content</t>
  </si>
  <si>
    <t xml:space="preserve">Source: TechRadar May 2026; Luna expected ₹39,999 India; Luna Ultra leaks May 2026</t>
  </si>
  <si>
    <t xml:space="preserve">GoPro</t>
  </si>
  <si>
    <t xml:space="preserve">Global (100+ countries)</t>
  </si>
  <si>
    <t xml:space="preserve">Strong brand in action/sports segment; rugged waterproof design; subscription (GoPro+)</t>
  </si>
  <si>
    <t xml:space="preserve">Sports &amp; adventure creators</t>
  </si>
  <si>
    <t xml:space="preserve">Source: GoPro 10-K FY2025; losing share to DJI/Insta360 in innovation race</t>
  </si>
  <si>
    <t xml:space="preserve">Sony (ZV series)</t>
  </si>
  <si>
    <t xml:space="preserve">Global (90+ countries)</t>
  </si>
  <si>
    <t xml:space="preserve">Best-in-class sensor technology; mirrorless ecosystem; trusted brand in India</t>
  </si>
  <si>
    <t xml:space="preserve">Prosumer &amp; professional YouTube creators</t>
  </si>
  <si>
    <t xml:space="preserve">Source: Sony IR FY2025; ZV-E10 II popular in India ₹65K–₹80K range</t>
  </si>
  <si>
    <t xml:space="preserve">Vivo (Proposed Entry)</t>
  </si>
  <si>
    <t xml:space="preserve">N/A</t>
  </si>
  <si>
    <t xml:space="preserve">India (initially)</t>
  </si>
  <si>
    <t xml:space="preserve">Strong India brand equity; existing retail/D2C distribution; competitive pricing potential sub-₹25K</t>
  </si>
  <si>
    <t xml:space="preserve">Budget-conscious Indian creators, students, micro-influencers</t>
  </si>
  <si>
    <t xml:space="preserve">Case study subject. No product launched yet. Vivo confirmed vlogging cam development 2026.</t>
  </si>
  <si>
    <t xml:space="preserve">Insta360 GO Ultra
(Thumb cam sub-seg)</t>
  </si>
  <si>
    <t xml:space="preserve">Global (80+ countries)</t>
  </si>
  <si>
    <t xml:space="preserve">Ultra-compact wearable form factor; invisible clips; unique POV shots</t>
  </si>
  <si>
    <t xml:space="preserve">Lifestyle &amp; wearable content creators</t>
  </si>
  <si>
    <t xml:space="preserve">Source: Insta360 product page; GO Ultra launched late 2025</t>
  </si>
  <si>
    <t xml:space="preserve">AKASO / Budget Brands</t>
  </si>
  <si>
    <t xml:space="preserve">India, SEA, US (online)</t>
  </si>
  <si>
    <t xml:space="preserve">Ultra-low price point; captures first-time buyers; Amazon/Flipkart distribution</t>
  </si>
  <si>
    <t xml:space="preserve">Entry-level / first-time buyers</t>
  </si>
  <si>
    <t xml:space="preserve">Source: Shipranarayan.com India 2026; price range ₹5K–₹20K</t>
  </si>
  <si>
    <t xml:space="preserve">INDIA POCKET VLOGGING CAMERA — MARKET SIZING &amp; GROWTH</t>
  </si>
  <si>
    <t xml:space="preserve">TAM / SAM / SOM ANALYSIS</t>
  </si>
  <si>
    <t xml:space="preserve">Market Level</t>
  </si>
  <si>
    <t xml:space="preserve">Definition</t>
  </si>
  <si>
    <t xml:space="preserve">Global Size (USD $B)</t>
  </si>
  <si>
    <t xml:space="preserve">India Est. (USD $M)</t>
  </si>
  <si>
    <t xml:space="preserve">CAGR %</t>
  </si>
  <si>
    <t xml:space="preserve">Key Assumption</t>
  </si>
  <si>
    <t xml:space="preserve">Vivo Opportunity</t>
  </si>
  <si>
    <t xml:space="preserve">Source</t>
  </si>
  <si>
    <t xml:space="preserve">TAM — Total Addressable Market</t>
  </si>
  <si>
    <t xml:space="preserve">Entire global consumer mobile video camera market</t>
  </si>
  <si>
    <t xml:space="preserve">India = ~4% of global market; growing faster than global avg at 15% CAGR</t>
  </si>
  <si>
    <t xml:space="preserve">Full India creator gear market Vivo could theoretically serve</t>
  </si>
  <si>
    <t xml:space="preserve">MarketsandMarkets, Mar 2026</t>
  </si>
  <si>
    <t xml:space="preserve">SAM — Serviceable Addressable Market</t>
  </si>
  <si>
    <t xml:space="preserve">Pocket gimbal + action cam segment in India (sub-₹50K price band)</t>
  </si>
  <si>
    <t xml:space="preserve">Pocket gimbal is ~25% of total consumer cam market in India; action cam included</t>
  </si>
  <si>
    <t xml:space="preserve">Realistic segment Vivo would compete in with a sub-₹25K product</t>
  </si>
  <si>
    <t xml:space="preserve">TechRadar, Smartprix India 2026 estimates</t>
  </si>
  <si>
    <t xml:space="preserve">SOM — Serviceable Obtainable Market</t>
  </si>
  <si>
    <t xml:space="preserve">Vivo's realistic capture in Yr 1–3 (budget sub-₹25K niche)</t>
  </si>
  <si>
    <t xml:space="preserve">Targeting ~10% of SAM in India; realistic for a known brand with existing distribution</t>
  </si>
  <si>
    <t xml:space="preserve">$8M (~₹67 Cr) revenue opportunity Year 1 if 10% SAM capture</t>
  </si>
  <si>
    <t xml:space="preserve">Analyst estimate for case study</t>
  </si>
  <si>
    <t xml:space="preserve">INDIA POCKET CAMERA MARKET — PROJECTED GROWTH (2024–2028)</t>
  </si>
  <si>
    <t xml:space="preserve">Metric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</si>
  <si>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</si>
  <si>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</si>
  <si>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</si>
  <si>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</si>
  <si>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</si>
  <si>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CAGR</t>
  </si>
  <si>
    <t xml:space="preserve">Notes</t>
  </si>
  <si>
    <t xml:space="preserve">India Pocket Cam Market Size ($M)</t>
  </si>
  <si>
    <t xml:space="preserve">Source: MarketsandMarkets + analyst est.</t>
  </si>
  <si>
    <t xml:space="preserve">YoY Growth %</t>
  </si>
  <si>
    <t xml:space="preserve">Base</t>
  </si>
  <si>
    <t xml:space="preserve">—</t>
  </si>
  <si>
    <t xml:space="preserve">Calculated from row above</t>
  </si>
  <si>
    <t xml:space="preserve">No. of Indian Creators (M)</t>
  </si>
  <si>
    <t xml:space="preserve">Source: IAMAI India Creator Economy Report</t>
  </si>
  <si>
    <t xml:space="preserve">Avg. Spend on Camera Gear/Creator ($)</t>
  </si>
  <si>
    <t xml:space="preserve">Declining as competition increases; more affordable options</t>
  </si>
  <si>
    <t xml:space="preserve">DJI Market Share India %</t>
  </si>
  <si>
    <t xml:space="preserve">Declining as new entrants arrive</t>
  </si>
  <si>
    <t xml:space="preserve">Insta360 Market Share India %</t>
  </si>
  <si>
    <t xml:space="preserve">Growing fast on back of Luna launch</t>
  </si>
  <si>
    <t xml:space="preserve">GoPro Market Share India %</t>
  </si>
  <si>
    <t xml:space="preserve">Declining; weak innovation pipeline</t>
  </si>
  <si>
    <t xml:space="preserve">Budget Brands Market Share India %</t>
  </si>
  <si>
    <t xml:space="preserve">Growing; Vivo entry could accelerate this</t>
  </si>
  <si>
    <t xml:space="preserve">PRICING LANDSCAPE &amp; PROFIT MARGIN ANALYSIS — POCKET GIMBAL CAMERAS</t>
  </si>
  <si>
    <t xml:space="preserve">Brand / Product</t>
  </si>
  <si>
    <t xml:space="preserve">Global Price (USD)</t>
  </si>
  <si>
    <t xml:space="preserve">India Price (INR ₹)</t>
  </si>
  <si>
    <t xml:space="preserve">Segment</t>
  </si>
  <si>
    <t xml:space="preserve">Est. COGS %</t>
  </si>
  <si>
    <t xml:space="preserve">Est. Gross Margin %</t>
  </si>
  <si>
    <t xml:space="preserve">Accessories Margin %</t>
  </si>
  <si>
    <t xml:space="preserve">Overall Blended Margin %</t>
  </si>
  <si>
    <t xml:space="preserve">Margin Notes</t>
  </si>
  <si>
    <t xml:space="preserve">DJI Osmo Pocket 4</t>
  </si>
  <si>
    <t xml:space="preserve">Premium</t>
  </si>
  <si>
    <t xml:space="preserve">Hardware margin ~38%; accessories (mics, cases) carry 55%+ margins</t>
  </si>
  <si>
    <t xml:space="preserve">DJI Osmo Pocket 4 Creator Combo</t>
  </si>
  <si>
    <t xml:space="preserve">Premium Bundle</t>
  </si>
  <si>
    <t xml:space="preserve">Bundle drives higher blended margin due to mic and accessory inclusion</t>
  </si>
  <si>
    <t xml:space="preserve">Insta360 Luna</t>
  </si>
  <si>
    <t xml:space="preserve">Priced slightly below DJI; aggressive entry into new segment</t>
  </si>
  <si>
    <t xml:space="preserve">Insta360 Luna Ultra</t>
  </si>
  <si>
    <t xml:space="preserve">Ultra Premium</t>
  </si>
  <si>
    <t xml:space="preserve">Dual-lens premium pricing; high ASP improves margin mix</t>
  </si>
  <si>
    <t xml:space="preserve">GoPro HERO 13</t>
  </si>
  <si>
    <t xml:space="preserve">Mid-Premium</t>
  </si>
  <si>
    <t xml:space="preserve">Lower margins; relies on GoPro+ subscription for software revenue</t>
  </si>
  <si>
    <t xml:space="preserve">Sony ZV-E10 II</t>
  </si>
  <si>
    <t xml:space="preserve">Prosumer</t>
  </si>
  <si>
    <t xml:space="preserve">Strong sensor quality; Sony India sales through authorised dealers</t>
  </si>
  <si>
    <t xml:space="preserve">Insta360 GO Ultra</t>
  </si>
  <si>
    <t xml:space="preserve">Compact Premium</t>
  </si>
  <si>
    <t xml:space="preserve">Ultra-compact; accessories like invisible selfie stick are high margin</t>
  </si>
  <si>
    <t xml:space="preserve">Budget</t>
  </si>
  <si>
    <t xml:space="preserve">Low-cost China manufacturing; razor thin hardware margins; volume play</t>
  </si>
  <si>
    <t xml:space="preserve">VIVO — Proposed Entry (Target)</t>
  </si>
  <si>
    <t xml:space="preserve">Budget-Premium</t>
  </si>
  <si>
    <t xml:space="preserve">CASE STUDY TARGET: Vivo should price ₹20K–₹25K to own the gap below DJI/Insta360</t>
  </si>
  <si>
    <t xml:space="preserve">SWOT ANALYSIS — VIVO ENTERING INDIA POCKET VLOGGING CAMERA MARKET</t>
  </si>
  <si>
    <t xml:space="preserve">STRENGTHS</t>
  </si>
  <si>
    <t xml:space="preserve">WEAKNESSES</t>
  </si>
  <si>
    <t xml:space="preserve">OPPORTUNITIES</t>
  </si>
  <si>
    <t xml:space="preserve">THREATS</t>
  </si>
  <si>
    <t xml:space="preserve">Strong India brand recognition (Top 3 smartphone brand)</t>
  </si>
  <si>
    <t xml:space="preserve">No camera hardware experience beyond smartphone sensors</t>
  </si>
  <si>
    <t xml:space="preserve">₹40K–₹50K gap in India market left by DJI/Insta360</t>
  </si>
  <si>
    <t xml:space="preserve">DJI/Insta360 could drop prices aggressively to block entry</t>
  </si>
  <si>
    <t xml:space="preserve">Existing India retail network (30K+ stores) &amp; Flipkart/Amazon presence</t>
  </si>
  <si>
    <t xml:space="preserve">No gimbal stabilisation IP or manufacturing capability yet</t>
  </si>
  <si>
    <t xml:space="preserve">85M+ Indian content creators by 2028 — fastest growing globally</t>
  </si>
  <si>
    <t xml:space="preserve">GoPro's low-priced HERO line competes at a similar price point</t>
  </si>
  <si>
    <t xml:space="preserve">Consumer trust in after-sales service and warranty in India</t>
  </si>
  <si>
    <t xml:space="preserve">Would be 1st-gen product vs DJI's 4th-gen refined experience</t>
  </si>
  <si>
    <t xml:space="preserve">No dominant player below ₹25K with good quality</t>
  </si>
  <si>
    <t xml:space="preserve">Component shortages (CMOS sensors, gimbal motors) risk delays</t>
  </si>
  <si>
    <t xml:space="preserve">Can leverage vivo phone user base for ecosystem cross-sell</t>
  </si>
  <si>
    <t xml:space="preserve">Software/AI features (tracking, stabilisation) lag DJI significantly</t>
  </si>
  <si>
    <t xml:space="preserve">Government PLI scheme incentives for electronics manufacturing in India</t>
  </si>
  <si>
    <t xml:space="preserve">Perception risk: consumers may not trust a phone brand for cameras</t>
  </si>
  <si>
    <t xml:space="preserve">Competitive BOM cost from existing supply chain relationships</t>
  </si>
  <si>
    <t xml:space="preserve">Limited experience in creator community marketing</t>
  </si>
  <si>
    <t xml:space="preserve">Partnership opportunity with Indian creator agencies &amp; YouTube India</t>
  </si>
  <si>
    <t xml:space="preserve">Insta360 Luna priced at ₹39,999 — close to Vivo's target segment</t>
  </si>
  <si>
    <t xml:space="preserve">SWOT SCORING SUMMARY (out of 10)</t>
  </si>
  <si>
    <t xml:space="preserve">SWOT Factor</t>
  </si>
  <si>
    <t xml:space="preserve">Score (1–10)</t>
  </si>
  <si>
    <t xml:space="preserve">Weight %</t>
  </si>
  <si>
    <t xml:space="preserve">Weighted Score</t>
  </si>
  <si>
    <t xml:space="preserve">Strengths</t>
  </si>
  <si>
    <t xml:space="preserve">Weaknesses (inverted)</t>
  </si>
  <si>
    <t xml:space="preserve">Opportunities</t>
  </si>
  <si>
    <t xml:space="preserve">Threats (inverted)</t>
  </si>
  <si>
    <t xml:space="preserve">OVERALL SWOT SCORE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</si>
</sst>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2B4A"/>
        <bgColor rgb="FF333300"/>
      </patternFill>
    </fill>
    <fill>
      <patternFill patternType="solid">
        <fgColor rgb="FFE8EEF7"/>
        <bgColor rgb="FFEBF5FB"/>
      </patternFill>
    </fill>
    <fill>
      <patternFill patternType="solid">
        <fgColor rgb="FF2E5FA3"/>
        <bgColor rgb="FF3A6BC9"/>
      </patternFill>
    </fill>
    <fill>
      <patternFill patternType="solid">
        <fgColor rgb="FFF2F4F8"/>
        <bgColor rgb="FFEBF5FB"/>
      </patternFill>
    </fill>
    <fill>
      <patternFill patternType="solid">
        <fgColor rgb="FFFFFFFF"/>
        <bgColor rgb="FFFEF9E7"/>
      </patternFill>
    </fill>
    <fill>
      <patternFill patternType="solid">
        <fgColor rgb="FFFFF8E7"/>
        <bgColor rgb="FFFEF9E7"/>
      </patternFill>
    </fill>
    <fill>
      <patternFill patternType="solid">
        <fgColor rgb="FF3A6BC9"/>
        <bgColor rgb="FF2E5FA3"/>
      </patternFill>
    </fill>
    <fill>
      <patternFill patternType="solid">
        <fgColor rgb="FFD6E4F7"/>
        <bgColor rgb="FFE8EEF7"/>
      </patternFill>
    </fill>
    <fill>
      <patternFill patternType="solid">
        <fgColor rgb="FF217346"/>
        <bgColor rgb="FF008080"/>
      </patternFill>
    </fill>
    <fill>
      <patternFill patternType="solid">
        <fgColor rgb="FFC0392B"/>
        <bgColor rgb="FF993366"/>
      </patternFill>
    </fill>
    <fill>
      <patternFill patternType="solid">
        <fgColor rgb="FF1A5276"/>
        <bgColor rgb="FF2E5FA3"/>
      </patternFill>
    </fill>
    <fill>
      <patternFill patternType="solid">
        <fgColor rgb="FF784212"/>
        <bgColor rgb="FF993366"/>
      </patternFill>
    </fill>
    <fill>
      <patternFill patternType="solid">
        <fgColor rgb="FFE9F7EF"/>
        <bgColor rgb="FFEBF5FB"/>
      </patternFill>
    </fill>
    <fill>
      <patternFill patternType="solid">
        <fgColor rgb="FFFDEDEC"/>
        <bgColor rgb="FFFFF8E7"/>
      </patternFill>
    </fill>
    <fill>
      <patternFill patternType="solid">
        <fgColor rgb="FFEBF5FB"/>
        <bgColor rgb="FFF2F4F8"/>
      </patternFill>
    </fill>
    <fill>
      <patternFill patternType="solid">
        <fgColor rgb="FFFEF9E7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CE4"/>
      </left>
      <right style="thin">
        <color rgb="FFBFCCE4"/>
      </right>
      <top style="thin">
        <color rgb="FFBFCCE4"/>
      </top>
      <bottom style="thin">
        <color rgb="FFBF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D6E4F7"/>
      <rgbColor rgb="FF808080"/>
      <rgbColor rgb="FF9999FF"/>
      <rgbColor rgb="FFC0392B"/>
      <rgbColor rgb="FFFEF9E7"/>
      <rgbColor rgb="FFE9F7EF"/>
      <rgbColor rgb="FF660066"/>
      <rgbColor rgb="FFFF8080"/>
      <rgbColor rgb="FF2E5FA3"/>
      <rgbColor rgb="FFBF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8EEF7"/>
      <rgbColor rgb="FFFFF8E7"/>
      <rgbColor rgb="FFF2F4F8"/>
      <rgbColor rgb="FFFF99CC"/>
      <rgbColor rgb="FFCC99FF"/>
      <rgbColor rgb="FFFDEDEC"/>
      <rgbColor rgb="FF3A6BC9"/>
      <rgbColor rgb="FF33CCCC"/>
      <rgbColor rgb="FF99CC00"/>
      <rgbColor rgb="FFFFCC00"/>
      <rgbColor rgb="FFFF9900"/>
      <rgbColor rgb="FFFF6600"/>
      <rgbColor rgb="FF666666"/>
      <rgbColor rgb="FF969696"/>
      <rgbColor rgb="FF1A5276"/>
      <rgbColor rgb="FF339966"/>
      <rgbColor rgb="FF003300"/>
      <rgbColor rgb="FF333300"/>
      <rgbColor rgb="FF784212"/>
      <rgbColor rgb="FF993366"/>
      <rgbColor rgb="FF333399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9" min="8" style="1" width="14"/>
    <col collapsed="false" customWidth="true" hidden="false" outlineLevel="0" max="10" min="10" style="1" width="12"/>
    <col collapsed="false" customWidth="true" hidden="false" outlineLevel="0" max="11" min="11" style="1" width="22"/>
    <col collapsed="false" customWidth="true" hidden="false" outlineLevel="0" max="12" min="12" style="1" width="38"/>
    <col collapsed="false" customWidth="true" hidden="false" outlineLevel="0" max="13" min="13" style="1" width="28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4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39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customFormat="false" ht="48" hidden="false" customHeight="true" outlineLevel="0" collapsed="false">
      <c r="A4" s="5" t="s">
        <v>18</v>
      </c>
      <c r="B4" s="6" t="n">
        <v>4200</v>
      </c>
      <c r="C4" s="6" t="n">
        <v>18</v>
      </c>
      <c r="D4" s="6" t="n">
        <v>55</v>
      </c>
      <c r="E4" s="6" t="n">
        <v>12.5</v>
      </c>
      <c r="F4" s="6" t="n">
        <v>499</v>
      </c>
      <c r="G4" s="6" t="n">
        <v>8.7</v>
      </c>
      <c r="H4" s="6" t="n">
        <v>45</v>
      </c>
      <c r="I4" s="6" t="n">
        <v>4.2</v>
      </c>
      <c r="J4" s="6" t="n">
        <v>28</v>
      </c>
      <c r="K4" s="7" t="s">
        <v>19</v>
      </c>
      <c r="L4" s="7" t="s">
        <v>20</v>
      </c>
      <c r="M4" s="7" t="s">
        <v>21</v>
      </c>
      <c r="N4" s="6" t="n">
        <v>12.4</v>
      </c>
      <c r="O4" s="6" t="n">
        <v>9</v>
      </c>
      <c r="P4" s="7" t="s">
        <v>22</v>
      </c>
    </row>
    <row r="5" customFormat="false" ht="48" hidden="false" customHeight="true" outlineLevel="0" collapsed="false">
      <c r="A5" s="8" t="s">
        <v>23</v>
      </c>
      <c r="B5" s="9" t="n">
        <v>980</v>
      </c>
      <c r="C5" s="9" t="n">
        <v>34</v>
      </c>
      <c r="D5" s="9" t="n">
        <v>22</v>
      </c>
      <c r="E5" s="9" t="n">
        <v>5.8</v>
      </c>
      <c r="F5" s="9" t="n">
        <v>430</v>
      </c>
      <c r="G5" s="9" t="n">
        <v>8.4</v>
      </c>
      <c r="H5" s="9" t="n">
        <v>22</v>
      </c>
      <c r="I5" s="9" t="n">
        <v>5.1</v>
      </c>
      <c r="J5" s="9" t="n">
        <v>18</v>
      </c>
      <c r="K5" s="10" t="s">
        <v>24</v>
      </c>
      <c r="L5" s="10" t="s">
        <v>25</v>
      </c>
      <c r="M5" s="10" t="s">
        <v>26</v>
      </c>
      <c r="N5" s="9" t="n">
        <v>12.4</v>
      </c>
      <c r="O5" s="9" t="n">
        <v>8</v>
      </c>
      <c r="P5" s="10" t="s">
        <v>27</v>
      </c>
    </row>
    <row r="6" customFormat="false" ht="48" hidden="false" customHeight="true" outlineLevel="0" collapsed="false">
      <c r="A6" s="5" t="s">
        <v>28</v>
      </c>
      <c r="B6" s="6" t="n">
        <v>1100</v>
      </c>
      <c r="C6" s="6" t="n">
        <v>-8</v>
      </c>
      <c r="D6" s="6" t="n">
        <v>12</v>
      </c>
      <c r="E6" s="6" t="n">
        <v>8.2</v>
      </c>
      <c r="F6" s="6" t="n">
        <v>299</v>
      </c>
      <c r="G6" s="6" t="n">
        <v>7.6</v>
      </c>
      <c r="H6" s="6" t="n">
        <v>30</v>
      </c>
      <c r="I6" s="6" t="n">
        <v>3.8</v>
      </c>
      <c r="J6" s="6" t="n">
        <v>12</v>
      </c>
      <c r="K6" s="7" t="s">
        <v>29</v>
      </c>
      <c r="L6" s="7" t="s">
        <v>30</v>
      </c>
      <c r="M6" s="7" t="s">
        <v>31</v>
      </c>
      <c r="N6" s="6" t="n">
        <v>12.4</v>
      </c>
      <c r="O6" s="6" t="n">
        <v>5</v>
      </c>
      <c r="P6" s="7" t="s">
        <v>32</v>
      </c>
    </row>
    <row r="7" customFormat="false" ht="48" hidden="false" customHeight="true" outlineLevel="0" collapsed="false">
      <c r="A7" s="8" t="s">
        <v>33</v>
      </c>
      <c r="B7" s="9" t="n">
        <v>680</v>
      </c>
      <c r="C7" s="9" t="n">
        <v>9</v>
      </c>
      <c r="D7" s="9" t="n">
        <v>6</v>
      </c>
      <c r="E7" s="9" t="n">
        <v>3.1</v>
      </c>
      <c r="F7" s="9" t="n">
        <v>680</v>
      </c>
      <c r="G7" s="9" t="n">
        <v>8.9</v>
      </c>
      <c r="H7" s="9" t="n">
        <v>18</v>
      </c>
      <c r="I7" s="9" t="n">
        <v>2.9</v>
      </c>
      <c r="J7" s="9" t="n">
        <v>35</v>
      </c>
      <c r="K7" s="10" t="s">
        <v>34</v>
      </c>
      <c r="L7" s="10" t="s">
        <v>35</v>
      </c>
      <c r="M7" s="10" t="s">
        <v>36</v>
      </c>
      <c r="N7" s="9" t="n">
        <v>12.4</v>
      </c>
      <c r="O7" s="9" t="n">
        <v>7</v>
      </c>
      <c r="P7" s="10" t="s">
        <v>37</v>
      </c>
    </row>
    <row r="8" customFormat="false" ht="48" hidden="false" customHeight="true" outlineLevel="0" collapsed="false">
      <c r="A8" s="11" t="s">
        <v>38</v>
      </c>
      <c r="B8" s="12" t="n">
        <v>0</v>
      </c>
      <c r="C8" s="12" t="s">
        <v>39</v>
      </c>
      <c r="D8" s="12" t="n">
        <v>0</v>
      </c>
      <c r="E8" s="12" t="n">
        <v>0</v>
      </c>
      <c r="F8" s="12" t="n">
        <v>250</v>
      </c>
      <c r="G8" s="12" t="s">
        <v>39</v>
      </c>
      <c r="H8" s="12" t="n">
        <v>8.5</v>
      </c>
      <c r="I8" s="12" t="n">
        <v>3.2</v>
      </c>
      <c r="J8" s="12" t="n">
        <v>1</v>
      </c>
      <c r="K8" s="13" t="s">
        <v>40</v>
      </c>
      <c r="L8" s="13" t="s">
        <v>41</v>
      </c>
      <c r="M8" s="13" t="s">
        <v>42</v>
      </c>
      <c r="N8" s="12" t="n">
        <v>12.4</v>
      </c>
      <c r="O8" s="12" t="n">
        <v>6</v>
      </c>
      <c r="P8" s="13" t="s">
        <v>43</v>
      </c>
    </row>
    <row r="9" customFormat="false" ht="48" hidden="false" customHeight="true" outlineLevel="0" collapsed="false">
      <c r="A9" s="8" t="s">
        <v>44</v>
      </c>
      <c r="B9" s="9" t="n">
        <v>210</v>
      </c>
      <c r="C9" s="9" t="n">
        <v>45</v>
      </c>
      <c r="D9" s="9" t="n">
        <v>3</v>
      </c>
      <c r="E9" s="9" t="n">
        <v>1.8</v>
      </c>
      <c r="F9" s="9" t="n">
        <v>350</v>
      </c>
      <c r="G9" s="9" t="n">
        <v>8.2</v>
      </c>
      <c r="H9" s="9" t="n">
        <v>6</v>
      </c>
      <c r="I9" s="9" t="n">
        <v>6.8</v>
      </c>
      <c r="J9" s="9" t="n">
        <v>5</v>
      </c>
      <c r="K9" s="10" t="s">
        <v>45</v>
      </c>
      <c r="L9" s="10" t="s">
        <v>46</v>
      </c>
      <c r="M9" s="10" t="s">
        <v>47</v>
      </c>
      <c r="N9" s="9" t="n">
        <v>12.4</v>
      </c>
      <c r="O9" s="9" t="n">
        <v>7</v>
      </c>
      <c r="P9" s="10" t="s">
        <v>48</v>
      </c>
    </row>
    <row r="10" customFormat="false" ht="48" hidden="false" customHeight="true" outlineLevel="0" collapsed="false">
      <c r="A10" s="5" t="s">
        <v>49</v>
      </c>
      <c r="B10" s="6" t="n">
        <v>85</v>
      </c>
      <c r="C10" s="6" t="n">
        <v>12</v>
      </c>
      <c r="D10" s="6" t="n">
        <v>2</v>
      </c>
      <c r="E10" s="6" t="n">
        <v>2.4</v>
      </c>
      <c r="F10" s="6" t="n">
        <v>80</v>
      </c>
      <c r="G10" s="6" t="n">
        <v>6.1</v>
      </c>
      <c r="H10" s="6" t="n">
        <v>3.5</v>
      </c>
      <c r="I10" s="6" t="n">
        <v>1.5</v>
      </c>
      <c r="J10" s="6" t="n">
        <v>8</v>
      </c>
      <c r="K10" s="7" t="s">
        <v>50</v>
      </c>
      <c r="L10" s="7" t="s">
        <v>51</v>
      </c>
      <c r="M10" s="7" t="s">
        <v>52</v>
      </c>
      <c r="N10" s="6" t="n">
        <v>12.4</v>
      </c>
      <c r="O10" s="6" t="n">
        <v>3</v>
      </c>
      <c r="P10" s="7" t="s">
        <v>53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6" min="2" style="1" width="14"/>
    <col collapsed="false" customWidth="true" hidden="false" outlineLevel="0" max="7" min="7" style="1" width="10"/>
    <col collapsed="false" customWidth="true" hidden="false" outlineLevel="0" max="8" min="8" style="1" width="38"/>
  </cols>
  <sheetData>
    <row r="1" customFormat="false" ht="33.75" hidden="false" customHeight="true" outlineLevel="0" collapsed="false">
      <c r="A1" s="14" t="s">
        <v>54</v>
      </c>
      <c r="B1" s="14"/>
      <c r="C1" s="14"/>
      <c r="D1" s="14"/>
      <c r="E1" s="14"/>
      <c r="F1" s="14"/>
      <c r="G1" s="14"/>
      <c r="H1" s="14"/>
    </row>
    <row r="3" customFormat="false" ht="27.75" hidden="false" customHeight="true" outlineLevel="0" collapsed="false">
      <c r="A3" s="15" t="s">
        <v>55</v>
      </c>
      <c r="B3" s="15"/>
      <c r="C3" s="15"/>
      <c r="D3" s="15"/>
      <c r="E3" s="15"/>
      <c r="F3" s="15"/>
      <c r="G3" s="15"/>
      <c r="H3" s="15"/>
    </row>
    <row r="4" customFormat="false" ht="31.5" hidden="false" customHeight="true" outlineLevel="0" collapsed="false">
      <c r="A4" s="16" t="s">
        <v>56</v>
      </c>
      <c r="B4" s="16" t="s">
        <v>57</v>
      </c>
      <c r="C4" s="16" t="s">
        <v>58</v>
      </c>
      <c r="D4" s="16" t="s">
        <v>59</v>
      </c>
      <c r="E4" s="16" t="s">
        <v>60</v>
      </c>
      <c r="F4" s="16" t="s">
        <v>61</v>
      </c>
      <c r="G4" s="16" t="s">
        <v>62</v>
      </c>
      <c r="H4" s="16" t="s">
        <v>63</v>
      </c>
    </row>
    <row r="5" customFormat="false" ht="51.75" hidden="false" customHeight="true" outlineLevel="0" collapsed="false">
      <c r="A5" s="17" t="s">
        <v>64</v>
      </c>
      <c r="B5" s="17" t="s">
        <v>65</v>
      </c>
      <c r="C5" s="18" t="n">
        <v>8.5</v>
      </c>
      <c r="D5" s="18" t="n">
        <v>340</v>
      </c>
      <c r="E5" s="18" t="n">
        <v>12.4</v>
      </c>
      <c r="F5" s="17" t="s">
        <v>66</v>
      </c>
      <c r="G5" s="17" t="s">
        <v>67</v>
      </c>
      <c r="H5" s="17" t="s">
        <v>68</v>
      </c>
    </row>
    <row r="6" customFormat="false" ht="51.75" hidden="false" customHeight="true" outlineLevel="0" collapsed="false">
      <c r="A6" s="10" t="s">
        <v>69</v>
      </c>
      <c r="B6" s="10" t="s">
        <v>70</v>
      </c>
      <c r="C6" s="9" t="n">
        <v>2.1</v>
      </c>
      <c r="D6" s="9" t="n">
        <v>84</v>
      </c>
      <c r="E6" s="9" t="n">
        <v>14</v>
      </c>
      <c r="F6" s="10" t="s">
        <v>71</v>
      </c>
      <c r="G6" s="10" t="s">
        <v>72</v>
      </c>
      <c r="H6" s="10" t="s">
        <v>73</v>
      </c>
    </row>
    <row r="7" customFormat="false" ht="51.75" hidden="false" customHeight="true" outlineLevel="0" collapsed="false">
      <c r="A7" s="13" t="s">
        <v>74</v>
      </c>
      <c r="B7" s="13" t="s">
        <v>75</v>
      </c>
      <c r="C7" s="12" t="s">
        <v>39</v>
      </c>
      <c r="D7" s="12" t="n">
        <v>8</v>
      </c>
      <c r="E7" s="12" t="s">
        <v>39</v>
      </c>
      <c r="F7" s="13" t="s">
        <v>76</v>
      </c>
      <c r="G7" s="13" t="s">
        <v>77</v>
      </c>
      <c r="H7" s="13" t="s">
        <v>78</v>
      </c>
    </row>
    <row r="10" customFormat="false" ht="27.75" hidden="false" customHeight="true" outlineLevel="0" collapsed="false">
      <c r="A10" s="15" t="s">
        <v>79</v>
      </c>
      <c r="B10" s="15"/>
      <c r="C10" s="15"/>
      <c r="D10" s="15"/>
      <c r="E10" s="15"/>
      <c r="F10" s="15"/>
      <c r="G10" s="15"/>
      <c r="H10" s="15"/>
    </row>
    <row r="11" customFormat="false" ht="15" hidden="false" customHeight="true" outlineLevel="0" collapsed="false">
      <c r="A11" s="16" t="s">
        <v>80</v>
      </c>
      <c r="B11" s="16" t="s">
        <v>81</v>
      </c>
      <c r="C11" s="16" t="s">
        <v>82</v>
      </c>
      <c r="D11" s="16" t="s">
        <v>83</v>
      </c>
      <c r="E11" s="16" t="s">
        <v>84</v>
      </c>
      <c r="F11" s="16" t="s">
        <v>85</v>
      </c>
      <c r="G11" s="16" t="s">
        <v>86</v>
      </c>
      <c r="H11" s="16" t="s">
        <v>87</v>
      </c>
    </row>
    <row r="12" customFormat="false" ht="24" hidden="false" customHeight="true" outlineLevel="0" collapsed="false">
      <c r="A12" s="7" t="s">
        <v>88</v>
      </c>
      <c r="B12" s="6" t="n">
        <v>52</v>
      </c>
      <c r="C12" s="6" t="n">
        <v>60</v>
      </c>
      <c r="D12" s="6" t="n">
        <v>69</v>
      </c>
      <c r="E12" s="6" t="n">
        <v>79</v>
      </c>
      <c r="F12" s="6" t="n">
        <v>91</v>
      </c>
      <c r="G12" s="19" t="n">
        <f aca="false">((F12/B12)^(1/4))-1</f>
        <v>0.150163316895603</v>
      </c>
      <c r="H12" s="7" t="s">
        <v>89</v>
      </c>
    </row>
    <row r="13" customFormat="false" ht="24" hidden="false" customHeight="true" outlineLevel="0" collapsed="false">
      <c r="A13" s="10" t="s">
        <v>90</v>
      </c>
      <c r="B13" s="9" t="s">
        <v>91</v>
      </c>
      <c r="C13" s="20" t="n">
        <f aca="false">C12/B12-1</f>
        <v>0.153846153846154</v>
      </c>
      <c r="D13" s="20" t="n">
        <f aca="false">D12/C12-1</f>
        <v>0.15</v>
      </c>
      <c r="E13" s="20" t="n">
        <f aca="false">E12/D12-1</f>
        <v>0.144927536231884</v>
      </c>
      <c r="F13" s="20" t="n">
        <f aca="false">F12/E12-1</f>
        <v>0.151898734177215</v>
      </c>
      <c r="G13" s="9" t="s">
        <v>92</v>
      </c>
      <c r="H13" s="10" t="s">
        <v>93</v>
      </c>
    </row>
    <row r="14" customFormat="false" ht="24" hidden="false" customHeight="true" outlineLevel="0" collapsed="false">
      <c r="A14" s="7" t="s">
        <v>94</v>
      </c>
      <c r="B14" s="19" t="n">
        <v>2.8</v>
      </c>
      <c r="C14" s="19" t="n">
        <v>3.5</v>
      </c>
      <c r="D14" s="19" t="n">
        <v>4.3</v>
      </c>
      <c r="E14" s="19" t="n">
        <v>5.2</v>
      </c>
      <c r="F14" s="19" t="n">
        <v>6.3</v>
      </c>
      <c r="G14" s="19" t="n">
        <f aca="false">((F14/B14)^(1/4))-1</f>
        <v>0.224744871391589</v>
      </c>
      <c r="H14" s="7" t="s">
        <v>95</v>
      </c>
    </row>
    <row r="15" customFormat="false" ht="24" hidden="false" customHeight="true" outlineLevel="0" collapsed="false">
      <c r="A15" s="10" t="s">
        <v>96</v>
      </c>
      <c r="B15" s="9" t="n">
        <v>18</v>
      </c>
      <c r="C15" s="9" t="n">
        <v>17</v>
      </c>
      <c r="D15" s="9" t="n">
        <v>16</v>
      </c>
      <c r="E15" s="9" t="n">
        <v>15</v>
      </c>
      <c r="F15" s="9" t="n">
        <v>14</v>
      </c>
      <c r="G15" s="20" t="s">
        <v>92</v>
      </c>
      <c r="H15" s="10" t="s">
        <v>97</v>
      </c>
    </row>
    <row r="16" customFormat="false" ht="24" hidden="false" customHeight="true" outlineLevel="0" collapsed="false">
      <c r="A16" s="7" t="s">
        <v>98</v>
      </c>
      <c r="B16" s="6" t="n">
        <v>58</v>
      </c>
      <c r="C16" s="6" t="n">
        <v>55</v>
      </c>
      <c r="D16" s="6" t="n">
        <v>52</v>
      </c>
      <c r="E16" s="6" t="n">
        <v>50</v>
      </c>
      <c r="F16" s="6" t="n">
        <v>47</v>
      </c>
      <c r="G16" s="6" t="s">
        <v>92</v>
      </c>
      <c r="H16" s="7" t="s">
        <v>99</v>
      </c>
    </row>
    <row r="17" customFormat="false" ht="24" hidden="false" customHeight="true" outlineLevel="0" collapsed="false">
      <c r="A17" s="10" t="s">
        <v>100</v>
      </c>
      <c r="B17" s="9" t="n">
        <v>15</v>
      </c>
      <c r="C17" s="9" t="n">
        <v>18</v>
      </c>
      <c r="D17" s="9" t="n">
        <v>21</v>
      </c>
      <c r="E17" s="9" t="n">
        <v>24</v>
      </c>
      <c r="F17" s="9" t="n">
        <v>26</v>
      </c>
      <c r="G17" s="9" t="s">
        <v>92</v>
      </c>
      <c r="H17" s="10" t="s">
        <v>101</v>
      </c>
    </row>
    <row r="18" customFormat="false" ht="24" hidden="false" customHeight="true" outlineLevel="0" collapsed="false">
      <c r="A18" s="7" t="s">
        <v>102</v>
      </c>
      <c r="B18" s="19" t="n">
        <v>14</v>
      </c>
      <c r="C18" s="19" t="n">
        <v>13</v>
      </c>
      <c r="D18" s="19" t="n">
        <v>11</v>
      </c>
      <c r="E18" s="19" t="n">
        <v>10</v>
      </c>
      <c r="F18" s="19" t="n">
        <v>9</v>
      </c>
      <c r="G18" s="6" t="s">
        <v>92</v>
      </c>
      <c r="H18" s="7" t="s">
        <v>103</v>
      </c>
    </row>
    <row r="19" customFormat="false" ht="24" hidden="false" customHeight="true" outlineLevel="0" collapsed="false">
      <c r="A19" s="10" t="s">
        <v>104</v>
      </c>
      <c r="B19" s="20" t="n">
        <v>13</v>
      </c>
      <c r="C19" s="20" t="n">
        <v>14</v>
      </c>
      <c r="D19" s="20" t="n">
        <v>16</v>
      </c>
      <c r="E19" s="20" t="n">
        <v>16</v>
      </c>
      <c r="F19" s="20" t="n">
        <v>18</v>
      </c>
      <c r="G19" s="9" t="s">
        <v>92</v>
      </c>
      <c r="H19" s="10" t="s">
        <v>105</v>
      </c>
    </row>
    <row r="20" customFormat="false" ht="15" hidden="false" customHeight="true" outlineLevel="0" collapsed="false">
      <c r="B20" s="21"/>
      <c r="C20" s="21"/>
      <c r="D20" s="21"/>
      <c r="E20" s="21"/>
      <c r="F20" s="21"/>
    </row>
    <row r="21" customFormat="false" ht="15" hidden="false" customHeight="true" outlineLevel="0" collapsed="false">
      <c r="B21" s="21"/>
      <c r="C21" s="21"/>
      <c r="D21" s="21"/>
      <c r="E21" s="21"/>
      <c r="F21" s="21"/>
    </row>
  </sheetData>
  <mergeCells count="3">
    <mergeCell ref="A1:H1"/>
    <mergeCell ref="A3:H3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8"/>
    <col collapsed="false" customWidth="true" hidden="false" outlineLevel="0" max="8" min="8" style="1" width="22"/>
    <col collapsed="false" customWidth="true" hidden="false" outlineLevel="0" max="9" min="9" style="1" width="44"/>
  </cols>
  <sheetData>
    <row r="1" customFormat="false" ht="33.75" hidden="false" customHeight="true" outlineLevel="0" collapsed="false">
      <c r="A1" s="14" t="s">
        <v>106</v>
      </c>
      <c r="B1" s="14"/>
      <c r="C1" s="14"/>
      <c r="D1" s="14"/>
      <c r="E1" s="14"/>
      <c r="F1" s="14"/>
      <c r="G1" s="14"/>
      <c r="H1" s="14"/>
      <c r="I1" s="14"/>
    </row>
    <row r="3" customFormat="false" ht="36" hidden="false" customHeight="true" outlineLevel="0" collapsed="false">
      <c r="A3" s="4" t="s">
        <v>107</v>
      </c>
      <c r="B3" s="4" t="s">
        <v>108</v>
      </c>
      <c r="C3" s="4" t="s">
        <v>109</v>
      </c>
      <c r="D3" s="4" t="s">
        <v>110</v>
      </c>
      <c r="E3" s="4" t="s">
        <v>111</v>
      </c>
      <c r="F3" s="4" t="s">
        <v>112</v>
      </c>
      <c r="G3" s="4" t="s">
        <v>113</v>
      </c>
      <c r="H3" s="4" t="s">
        <v>114</v>
      </c>
      <c r="I3" s="4" t="s">
        <v>115</v>
      </c>
    </row>
    <row r="4" customFormat="false" ht="36" hidden="false" customHeight="true" outlineLevel="0" collapsed="false">
      <c r="A4" s="7" t="s">
        <v>116</v>
      </c>
      <c r="B4" s="6" t="n">
        <v>499</v>
      </c>
      <c r="C4" s="22" t="n">
        <v>45999</v>
      </c>
      <c r="D4" s="6" t="s">
        <v>117</v>
      </c>
      <c r="E4" s="19" t="n">
        <v>0.62</v>
      </c>
      <c r="F4" s="19" t="n">
        <f aca="false">1-E4</f>
        <v>0.38</v>
      </c>
      <c r="G4" s="19" t="n">
        <v>0.55</v>
      </c>
      <c r="H4" s="19" t="n">
        <f aca="false">(F4+G4)/2</f>
        <v>0.465</v>
      </c>
      <c r="I4" s="7" t="s">
        <v>118</v>
      </c>
    </row>
    <row r="5" customFormat="false" ht="36" hidden="false" customHeight="true" outlineLevel="0" collapsed="false">
      <c r="A5" s="10" t="s">
        <v>119</v>
      </c>
      <c r="B5" s="9" t="n">
        <v>699</v>
      </c>
      <c r="C5" s="23" t="n">
        <v>64999</v>
      </c>
      <c r="D5" s="9" t="s">
        <v>120</v>
      </c>
      <c r="E5" s="20" t="n">
        <v>0.6</v>
      </c>
      <c r="F5" s="20" t="n">
        <f aca="false">1-E5</f>
        <v>0.4</v>
      </c>
      <c r="G5" s="20" t="n">
        <v>0.55</v>
      </c>
      <c r="H5" s="20" t="n">
        <f aca="false">(F5+G5)/2</f>
        <v>0.475</v>
      </c>
      <c r="I5" s="10" t="s">
        <v>121</v>
      </c>
    </row>
    <row r="6" customFormat="false" ht="36" hidden="false" customHeight="true" outlineLevel="0" collapsed="false">
      <c r="A6" s="7" t="s">
        <v>122</v>
      </c>
      <c r="B6" s="6" t="n">
        <v>499</v>
      </c>
      <c r="C6" s="22" t="n">
        <v>39999</v>
      </c>
      <c r="D6" s="6" t="s">
        <v>117</v>
      </c>
      <c r="E6" s="19" t="n">
        <v>0.63</v>
      </c>
      <c r="F6" s="19" t="n">
        <f aca="false">1-E6</f>
        <v>0.37</v>
      </c>
      <c r="G6" s="19" t="n">
        <v>0.5</v>
      </c>
      <c r="H6" s="19" t="n">
        <f aca="false">(F6+G6)/2</f>
        <v>0.435</v>
      </c>
      <c r="I6" s="7" t="s">
        <v>123</v>
      </c>
    </row>
    <row r="7" customFormat="false" ht="36" hidden="false" customHeight="true" outlineLevel="0" collapsed="false">
      <c r="A7" s="10" t="s">
        <v>124</v>
      </c>
      <c r="B7" s="9" t="n">
        <v>735</v>
      </c>
      <c r="C7" s="23" t="n">
        <v>69999</v>
      </c>
      <c r="D7" s="9" t="s">
        <v>125</v>
      </c>
      <c r="E7" s="20" t="n">
        <v>0.58</v>
      </c>
      <c r="F7" s="20" t="n">
        <f aca="false">1-E7</f>
        <v>0.42</v>
      </c>
      <c r="G7" s="20" t="n">
        <v>0.52</v>
      </c>
      <c r="H7" s="20" t="n">
        <f aca="false">(F7+G7)/2</f>
        <v>0.47</v>
      </c>
      <c r="I7" s="10" t="s">
        <v>126</v>
      </c>
    </row>
    <row r="8" customFormat="false" ht="36" hidden="false" customHeight="true" outlineLevel="0" collapsed="false">
      <c r="A8" s="7" t="s">
        <v>127</v>
      </c>
      <c r="B8" s="6" t="n">
        <v>399</v>
      </c>
      <c r="C8" s="22" t="n">
        <v>32999</v>
      </c>
      <c r="D8" s="6" t="s">
        <v>128</v>
      </c>
      <c r="E8" s="19" t="n">
        <v>0.65</v>
      </c>
      <c r="F8" s="19" t="n">
        <f aca="false">1-E8</f>
        <v>0.35</v>
      </c>
      <c r="G8" s="19" t="n">
        <v>0.45</v>
      </c>
      <c r="H8" s="19" t="n">
        <f aca="false">(F8+G8)/2</f>
        <v>0.4</v>
      </c>
      <c r="I8" s="7" t="s">
        <v>129</v>
      </c>
    </row>
    <row r="9" customFormat="false" ht="36" hidden="false" customHeight="true" outlineLevel="0" collapsed="false">
      <c r="A9" s="10" t="s">
        <v>130</v>
      </c>
      <c r="B9" s="9" t="n">
        <v>750</v>
      </c>
      <c r="C9" s="23" t="n">
        <v>72000</v>
      </c>
      <c r="D9" s="9" t="s">
        <v>131</v>
      </c>
      <c r="E9" s="20" t="n">
        <v>0.6</v>
      </c>
      <c r="F9" s="20" t="n">
        <f aca="false">1-E9</f>
        <v>0.4</v>
      </c>
      <c r="G9" s="20" t="n">
        <v>0.42</v>
      </c>
      <c r="H9" s="20" t="n">
        <f aca="false">(F9+G9)/2</f>
        <v>0.41</v>
      </c>
      <c r="I9" s="10" t="s">
        <v>132</v>
      </c>
    </row>
    <row r="10" customFormat="false" ht="36" hidden="false" customHeight="true" outlineLevel="0" collapsed="false">
      <c r="A10" s="7" t="s">
        <v>133</v>
      </c>
      <c r="B10" s="6" t="n">
        <v>350</v>
      </c>
      <c r="C10" s="22" t="n">
        <v>32999</v>
      </c>
      <c r="D10" s="6" t="s">
        <v>134</v>
      </c>
      <c r="E10" s="19" t="n">
        <v>0.64</v>
      </c>
      <c r="F10" s="19" t="n">
        <f aca="false">1-E10</f>
        <v>0.36</v>
      </c>
      <c r="G10" s="19" t="n">
        <v>0.5</v>
      </c>
      <c r="H10" s="19" t="n">
        <f aca="false">(F10+G10)/2</f>
        <v>0.43</v>
      </c>
      <c r="I10" s="7" t="s">
        <v>135</v>
      </c>
    </row>
    <row r="11" customFormat="false" ht="36" hidden="false" customHeight="true" outlineLevel="0" collapsed="false">
      <c r="A11" s="10" t="s">
        <v>49</v>
      </c>
      <c r="B11" s="9" t="n">
        <v>80</v>
      </c>
      <c r="C11" s="23" t="n">
        <v>7499</v>
      </c>
      <c r="D11" s="9" t="s">
        <v>136</v>
      </c>
      <c r="E11" s="20" t="n">
        <v>0.72</v>
      </c>
      <c r="F11" s="20" t="n">
        <f aca="false">1-E11</f>
        <v>0.28</v>
      </c>
      <c r="G11" s="20" t="n">
        <v>0.3</v>
      </c>
      <c r="H11" s="20" t="n">
        <f aca="false">(F11+G11)/2</f>
        <v>0.29</v>
      </c>
      <c r="I11" s="10" t="s">
        <v>137</v>
      </c>
    </row>
    <row r="12" customFormat="false" ht="36" hidden="false" customHeight="true" outlineLevel="0" collapsed="false">
      <c r="A12" s="11" t="s">
        <v>138</v>
      </c>
      <c r="B12" s="24" t="n">
        <v>270</v>
      </c>
      <c r="C12" s="25" t="n">
        <v>22999</v>
      </c>
      <c r="D12" s="24" t="s">
        <v>139</v>
      </c>
      <c r="E12" s="26" t="n">
        <v>0.65</v>
      </c>
      <c r="F12" s="26" t="n">
        <f aca="false">1-E12</f>
        <v>0.35</v>
      </c>
      <c r="G12" s="26" t="n">
        <v>0.45</v>
      </c>
      <c r="H12" s="26" t="n">
        <f aca="false">(F12+G12)/2</f>
        <v>0.4</v>
      </c>
      <c r="I12" s="11" t="s">
        <v>140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42"/>
  </cols>
  <sheetData>
    <row r="1" customFormat="false" ht="33.75" hidden="false" customHeight="true" outlineLevel="0" collapsed="false">
      <c r="A1" s="14" t="s">
        <v>141</v>
      </c>
      <c r="B1" s="14"/>
      <c r="C1" s="14"/>
      <c r="D1" s="14"/>
    </row>
    <row r="2" customFormat="false" ht="30" hidden="false" customHeight="true" outlineLevel="0" collapsed="false">
      <c r="A2" s="27" t="s">
        <v>142</v>
      </c>
      <c r="B2" s="28" t="s">
        <v>143</v>
      </c>
      <c r="C2" s="29" t="s">
        <v>144</v>
      </c>
      <c r="D2" s="30" t="s">
        <v>145</v>
      </c>
    </row>
    <row r="3" customFormat="false" ht="36" hidden="false" customHeight="true" outlineLevel="0" collapsed="false">
      <c r="A3" s="31" t="s">
        <v>146</v>
      </c>
      <c r="B3" s="32" t="s">
        <v>147</v>
      </c>
      <c r="C3" s="33" t="s">
        <v>148</v>
      </c>
      <c r="D3" s="34" t="s">
        <v>149</v>
      </c>
    </row>
    <row r="4" customFormat="false" ht="36" hidden="false" customHeight="true" outlineLevel="0" collapsed="false">
      <c r="A4" s="31" t="s">
        <v>150</v>
      </c>
      <c r="B4" s="32" t="s">
        <v>151</v>
      </c>
      <c r="C4" s="33" t="s">
        <v>152</v>
      </c>
      <c r="D4" s="34" t="s">
        <v>153</v>
      </c>
    </row>
    <row r="5" customFormat="false" ht="36" hidden="false" customHeight="true" outlineLevel="0" collapsed="false">
      <c r="A5" s="31" t="s">
        <v>154</v>
      </c>
      <c r="B5" s="32" t="s">
        <v>155</v>
      </c>
      <c r="C5" s="33" t="s">
        <v>156</v>
      </c>
      <c r="D5" s="34" t="s">
        <v>157</v>
      </c>
    </row>
    <row r="6" customFormat="false" ht="36" hidden="false" customHeight="true" outlineLevel="0" collapsed="false">
      <c r="A6" s="31" t="s">
        <v>158</v>
      </c>
      <c r="B6" s="32" t="s">
        <v>159</v>
      </c>
      <c r="C6" s="33" t="s">
        <v>160</v>
      </c>
      <c r="D6" s="34" t="s">
        <v>161</v>
      </c>
    </row>
    <row r="7" customFormat="false" ht="36" hidden="false" customHeight="true" outlineLevel="0" collapsed="false">
      <c r="A7" s="31" t="s">
        <v>162</v>
      </c>
      <c r="B7" s="32" t="s">
        <v>163</v>
      </c>
      <c r="C7" s="33" t="s">
        <v>164</v>
      </c>
      <c r="D7" s="34" t="s">
        <v>165</v>
      </c>
    </row>
    <row r="9" customFormat="false" ht="27.75" hidden="false" customHeight="true" outlineLevel="0" collapsed="false">
      <c r="A9" s="15" t="s">
        <v>166</v>
      </c>
      <c r="B9" s="15"/>
      <c r="C9" s="15"/>
      <c r="D9" s="15"/>
    </row>
    <row r="10" customFormat="false" ht="15" hidden="false" customHeight="true" outlineLevel="0" collapsed="false">
      <c r="A10" s="16" t="s">
        <v>167</v>
      </c>
      <c r="B10" s="16" t="s">
        <v>168</v>
      </c>
      <c r="C10" s="16" t="s">
        <v>169</v>
      </c>
      <c r="D10" s="16" t="s">
        <v>170</v>
      </c>
    </row>
    <row r="11" customFormat="false" ht="25.5" hidden="false" customHeight="true" outlineLevel="0" collapsed="false">
      <c r="A11" s="35" t="s">
        <v>171</v>
      </c>
      <c r="B11" s="35" t="n">
        <v>7.5</v>
      </c>
      <c r="C11" s="36" t="n">
        <v>0.3</v>
      </c>
      <c r="D11" s="35" t="n">
        <f aca="false">B11*C11</f>
        <v>2.25</v>
      </c>
    </row>
    <row r="12" customFormat="false" ht="25.5" hidden="false" customHeight="true" outlineLevel="0" collapsed="false">
      <c r="A12" s="37" t="s">
        <v>172</v>
      </c>
      <c r="B12" s="37" t="n">
        <v>5</v>
      </c>
      <c r="C12" s="38" t="n">
        <v>0.25</v>
      </c>
      <c r="D12" s="37" t="n">
        <f aca="false">B12*C12</f>
        <v>1.25</v>
      </c>
    </row>
    <row r="13" customFormat="false" ht="25.5" hidden="false" customHeight="true" outlineLevel="0" collapsed="false">
      <c r="A13" s="35" t="s">
        <v>173</v>
      </c>
      <c r="B13" s="35" t="n">
        <v>8</v>
      </c>
      <c r="C13" s="36" t="n">
        <v>0.3</v>
      </c>
      <c r="D13" s="35" t="n">
        <f aca="false">B13*C13</f>
        <v>2.4</v>
      </c>
    </row>
    <row r="14" customFormat="false" ht="25.5" hidden="false" customHeight="true" outlineLevel="0" collapsed="false">
      <c r="A14" s="37" t="s">
        <v>174</v>
      </c>
      <c r="B14" s="37" t="n">
        <v>5.5</v>
      </c>
      <c r="C14" s="38" t="n">
        <v>0.15</v>
      </c>
      <c r="D14" s="37" t="n">
        <f aca="false">B14*C14</f>
        <v>0.825</v>
      </c>
    </row>
    <row r="15" customFormat="false" ht="25.5" hidden="false" customHeight="true" outlineLevel="0" collapsed="false">
      <c r="A15" s="39" t="s">
        <v>175</v>
      </c>
      <c r="B15" s="39" t="n">
        <f aca="false">SUM(B11:B14)/4</f>
        <v>6.5</v>
      </c>
      <c r="C15" s="40" t="n">
        <f aca="false">SUM(C11:C14)</f>
        <v>1</v>
      </c>
      <c r="D15" s="39" t="n">
        <f aca="false">SUM(D11:D14)</f>
        <v>6.725</v>
      </c>
    </row>
  </sheetData>
  <mergeCells count="2">
    <mergeCell ref="A1:D1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2026-05-30T17:50:56Z</dcterms:created>
  <dc:creator>openpyxl</dc:creator>
  <dc:description/>
  <dc:language>en-US</dc:language>
  <cp:lastModifiedBy/>
  <dcterms:modified xsi:type="dcterms:W3CDTF">2026-05-30T17:51:20Z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